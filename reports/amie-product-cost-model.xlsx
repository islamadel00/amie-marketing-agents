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نتجات" sheetId="1" state="visible" r:id="rId1"/>
    <sheet xmlns:r="http://schemas.openxmlformats.org/officeDocument/2006/relationships" name="حسبة البراند" sheetId="2" state="visible" r:id="rId2"/>
    <sheet xmlns:r="http://schemas.openxmlformats.org/officeDocument/2006/relationships" name="المؤثرون" sheetId="3" state="visible" r:id="rId3"/>
    <sheet xmlns:r="http://schemas.openxmlformats.org/officeDocument/2006/relationships" name="طريقة الحساب"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0&quot;×&quot;"/>
  </numFmts>
  <fonts count="3">
    <font>
      <name val="Calibri"/>
      <family val="2"/>
      <color theme="1"/>
      <sz val="11"/>
      <scheme val="minor"/>
    </font>
    <font>
      <b val="1"/>
      <color rgb="00FFFFFF"/>
    </font>
    <font>
      <b val="1"/>
    </font>
  </fonts>
  <fills count="4">
    <fill>
      <patternFill/>
    </fill>
    <fill>
      <patternFill patternType="gray125"/>
    </fill>
    <fill>
      <patternFill patternType="solid">
        <fgColor rgb="00111111"/>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3" fontId="0" fillId="0" borderId="0" pivotButton="0" quotePrefix="0" xfId="0"/>
    <xf numFmtId="164" fontId="0" fillId="0" borderId="0" pivotButton="0" quotePrefix="0" xfId="0"/>
    <xf numFmtId="4" fontId="0" fillId="0" borderId="0" pivotButton="0" quotePrefix="0" xfId="0"/>
    <xf numFmtId="4" fontId="0" fillId="3" borderId="0" pivotButton="0" quotePrefix="0" xfId="0"/>
    <xf numFmtId="0" fontId="2" fillId="0" borderId="0" pivotButton="0" quotePrefix="0" xfId="0"/>
    <xf numFmtId="3" fontId="2" fillId="0" borderId="0" pivotButton="0" quotePrefix="0" xfId="0"/>
    <xf numFmtId="4" fontId="2" fillId="0" borderId="0" pivotButton="0" quotePrefix="0" xfId="0"/>
    <xf numFmtId="164" fontId="0" fillId="3"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45" customHeight="1">
      <c r="A1" s="1" t="inlineStr">
        <is>
          <t>المنتج</t>
        </is>
      </c>
      <c r="B1" s="1" t="inlineStr">
        <is>
          <t>طلبات فيها المنتج</t>
        </is>
      </c>
      <c r="C1" s="1" t="inlineStr">
        <is>
          <t>القطع</t>
        </is>
      </c>
      <c r="D1" s="1" t="inlineStr">
        <is>
          <t>صافي المبيعات بدون ضريبة</t>
        </is>
      </c>
      <c r="E1" s="1" t="inlineStr">
        <is>
          <t>الخصم (شامل ضريبة)</t>
        </is>
      </c>
      <c r="F1" s="1" t="inlineStr">
        <is>
          <t>نسبة الخصم</t>
        </is>
      </c>
      <c r="G1" s="1" t="inlineStr">
        <is>
          <t>تكلفة الإعلانات</t>
        </is>
      </c>
      <c r="H1" s="1" t="inlineStr">
        <is>
          <t>تكلفة المؤثرين</t>
        </is>
      </c>
      <c r="I1" s="1" t="inlineStr">
        <is>
          <t>إجمالي التسويق</t>
        </is>
      </c>
      <c r="J1" s="1" t="inlineStr">
        <is>
          <t>التسويق لكل قطعة</t>
        </is>
      </c>
      <c r="K1" s="1" t="inlineStr">
        <is>
          <t>التسويق % من المبيعات</t>
        </is>
      </c>
      <c r="L1" s="1" t="inlineStr">
        <is>
          <t>تكلفة القطعة (أدخلها)</t>
        </is>
      </c>
      <c r="M1" s="1" t="inlineStr">
        <is>
          <t>إجمالي تكلفة البضاعة</t>
        </is>
      </c>
      <c r="N1" s="1" t="inlineStr">
        <is>
          <t>الربح الإجمالي</t>
        </is>
      </c>
      <c r="O1" s="1" t="inlineStr">
        <is>
          <t>الربح بعد التسويق</t>
        </is>
      </c>
      <c r="P1" s="1" t="inlineStr">
        <is>
          <t>هامش بعد التسويق</t>
        </is>
      </c>
      <c r="Q1" s="1" t="inlineStr">
        <is>
          <t>الربح بعد التسويق لكل قطعة</t>
        </is>
      </c>
    </row>
    <row r="2">
      <c r="A2" t="inlineStr">
        <is>
          <t>Summer Set</t>
        </is>
      </c>
      <c r="B2" t="n">
        <v>1459</v>
      </c>
      <c r="C2" t="n">
        <v>1483</v>
      </c>
      <c r="D2" s="2" t="n">
        <v>662962.05</v>
      </c>
      <c r="E2" s="2" t="n">
        <v>43228.72</v>
      </c>
      <c r="F2" s="3" t="n">
        <v>0.05400000000000001</v>
      </c>
      <c r="G2" s="2" t="n">
        <v>79353.22</v>
      </c>
      <c r="H2" s="2" t="n">
        <v>29092.49</v>
      </c>
      <c r="I2" s="2">
        <f>G2+H2</f>
        <v/>
      </c>
      <c r="J2" s="4">
        <f>IFERROR(I2/C2,0)</f>
        <v/>
      </c>
      <c r="K2" s="3">
        <f>IFERROR(I2/D2,0)</f>
        <v/>
      </c>
      <c r="L2" s="5" t="n"/>
      <c r="M2" s="2">
        <f>IF(L2="","",L2*C2)</f>
        <v/>
      </c>
      <c r="N2" s="2">
        <f>IF(L2="","",D2-M2)</f>
        <v/>
      </c>
      <c r="O2" s="2">
        <f>IF(L2="","",N2-I2)</f>
        <v/>
      </c>
      <c r="P2" s="3">
        <f>IF(L2="","",O2/D2)</f>
        <v/>
      </c>
      <c r="Q2" s="4">
        <f>IF(L2="","",O2/C2)</f>
        <v/>
      </c>
    </row>
    <row r="3">
      <c r="A3" t="inlineStr">
        <is>
          <t>Red Cherry Tanning Cream 200ml</t>
        </is>
      </c>
      <c r="B3" t="n">
        <v>787</v>
      </c>
      <c r="C3" t="n">
        <v>891</v>
      </c>
      <c r="D3" s="2" t="n">
        <v>149294.59</v>
      </c>
      <c r="E3" s="2" t="n">
        <v>5574.79</v>
      </c>
      <c r="F3" s="3" t="n">
        <v>0.031</v>
      </c>
      <c r="G3" s="2" t="n">
        <v>18261.11</v>
      </c>
      <c r="H3" s="2" t="n">
        <v>4411.38</v>
      </c>
      <c r="I3" s="2">
        <f>G3+H3</f>
        <v/>
      </c>
      <c r="J3" s="4">
        <f>IFERROR(I3/C3,0)</f>
        <v/>
      </c>
      <c r="K3" s="3">
        <f>IFERROR(I3/D3,0)</f>
        <v/>
      </c>
      <c r="L3" s="5" t="n"/>
      <c r="M3" s="2">
        <f>IF(L3="","",L3*C3)</f>
        <v/>
      </c>
      <c r="N3" s="2">
        <f>IF(L3="","",D3-M3)</f>
        <v/>
      </c>
      <c r="O3" s="2">
        <f>IF(L3="","",N3-I3)</f>
        <v/>
      </c>
      <c r="P3" s="3">
        <f>IF(L3="","",O3/D3)</f>
        <v/>
      </c>
      <c r="Q3" s="4">
        <f>IF(L3="","",O3/C3)</f>
        <v/>
      </c>
    </row>
    <row r="4">
      <c r="A4" t="inlineStr">
        <is>
          <t>Hair Set</t>
        </is>
      </c>
      <c r="B4" t="n">
        <v>695</v>
      </c>
      <c r="C4" t="n">
        <v>723</v>
      </c>
      <c r="D4" s="2" t="n">
        <v>136307.51</v>
      </c>
      <c r="E4" s="2" t="n">
        <v>16298.63</v>
      </c>
      <c r="F4" s="3" t="n">
        <v>0.094</v>
      </c>
      <c r="G4" s="2" t="n">
        <v>13022.94</v>
      </c>
      <c r="H4" s="2" t="n">
        <v>29926.09</v>
      </c>
      <c r="I4" s="2">
        <f>G4+H4</f>
        <v/>
      </c>
      <c r="J4" s="4">
        <f>IFERROR(I4/C4,0)</f>
        <v/>
      </c>
      <c r="K4" s="3">
        <f>IFERROR(I4/D4,0)</f>
        <v/>
      </c>
      <c r="L4" s="5" t="n"/>
      <c r="M4" s="2">
        <f>IF(L4="","",L4*C4)</f>
        <v/>
      </c>
      <c r="N4" s="2">
        <f>IF(L4="","",D4-M4)</f>
        <v/>
      </c>
      <c r="O4" s="2">
        <f>IF(L4="","",N4-I4)</f>
        <v/>
      </c>
      <c r="P4" s="3">
        <f>IF(L4="","",O4/D4)</f>
        <v/>
      </c>
      <c r="Q4" s="4">
        <f>IF(L4="","",O4/C4)</f>
        <v/>
      </c>
    </row>
    <row r="5">
      <c r="A5" t="inlineStr">
        <is>
          <t>a'mie Hair Wax 30ml</t>
        </is>
      </c>
      <c r="B5" t="n">
        <v>883</v>
      </c>
      <c r="C5" t="n">
        <v>991</v>
      </c>
      <c r="D5" s="2" t="n">
        <v>100187.02</v>
      </c>
      <c r="E5" s="2" t="n">
        <v>12630.75</v>
      </c>
      <c r="F5" s="3" t="n">
        <v>0.099</v>
      </c>
      <c r="G5" s="2" t="n">
        <v>9619.93</v>
      </c>
      <c r="H5" s="2" t="n">
        <v>9639.25</v>
      </c>
      <c r="I5" s="2">
        <f>G5+H5</f>
        <v/>
      </c>
      <c r="J5" s="4">
        <f>IFERROR(I5/C5,0)</f>
        <v/>
      </c>
      <c r="K5" s="3">
        <f>IFERROR(I5/D5,0)</f>
        <v/>
      </c>
      <c r="L5" s="5" t="n"/>
      <c r="M5" s="2">
        <f>IF(L5="","",L5*C5)</f>
        <v/>
      </c>
      <c r="N5" s="2">
        <f>IF(L5="","",D5-M5)</f>
        <v/>
      </c>
      <c r="O5" s="2">
        <f>IF(L5="","",N5-I5)</f>
        <v/>
      </c>
      <c r="P5" s="3">
        <f>IF(L5="","",O5/D5)</f>
        <v/>
      </c>
      <c r="Q5" s="4">
        <f>IF(L5="","",O5/C5)</f>
        <v/>
      </c>
    </row>
    <row r="6">
      <c r="A6" t="inlineStr">
        <is>
          <t>Deep Tan Tanning Oil 150ml</t>
        </is>
      </c>
      <c r="B6" t="n">
        <v>619</v>
      </c>
      <c r="C6" t="n">
        <v>665</v>
      </c>
      <c r="D6" s="2" t="n">
        <v>86240.7</v>
      </c>
      <c r="E6" s="2" t="n">
        <v>6558.5</v>
      </c>
      <c r="F6" s="3" t="n">
        <v>0.062</v>
      </c>
      <c r="G6" s="2" t="n">
        <v>9338.07</v>
      </c>
      <c r="H6" s="2" t="n">
        <v>6895.88</v>
      </c>
      <c r="I6" s="2">
        <f>G6+H6</f>
        <v/>
      </c>
      <c r="J6" s="4">
        <f>IFERROR(I6/C6,0)</f>
        <v/>
      </c>
      <c r="K6" s="3">
        <f>IFERROR(I6/D6,0)</f>
        <v/>
      </c>
      <c r="L6" s="5" t="n"/>
      <c r="M6" s="2">
        <f>IF(L6="","",L6*C6)</f>
        <v/>
      </c>
      <c r="N6" s="2">
        <f>IF(L6="","",D6-M6)</f>
        <v/>
      </c>
      <c r="O6" s="2">
        <f>IF(L6="","",N6-I6)</f>
        <v/>
      </c>
      <c r="P6" s="3">
        <f>IF(L6="","",O6/D6)</f>
        <v/>
      </c>
      <c r="Q6" s="4">
        <f>IF(L6="","",O6/C6)</f>
        <v/>
      </c>
    </row>
    <row r="7">
      <c r="A7" t="inlineStr">
        <is>
          <t>Glow Set</t>
        </is>
      </c>
      <c r="B7" t="n">
        <v>468</v>
      </c>
      <c r="C7" t="n">
        <v>479</v>
      </c>
      <c r="D7" s="2" t="n">
        <v>76943.21000000001</v>
      </c>
      <c r="E7" s="2" t="n">
        <v>7583.29</v>
      </c>
      <c r="F7" s="3" t="n">
        <v>0.079</v>
      </c>
      <c r="G7" s="2" t="n">
        <v>6829.67</v>
      </c>
      <c r="H7" s="2" t="n">
        <v>6220.71</v>
      </c>
      <c r="I7" s="2">
        <f>G7+H7</f>
        <v/>
      </c>
      <c r="J7" s="4">
        <f>IFERROR(I7/C7,0)</f>
        <v/>
      </c>
      <c r="K7" s="3">
        <f>IFERROR(I7/D7,0)</f>
        <v/>
      </c>
      <c r="L7" s="5" t="n"/>
      <c r="M7" s="2">
        <f>IF(L7="","",L7*C7)</f>
        <v/>
      </c>
      <c r="N7" s="2">
        <f>IF(L7="","",D7-M7)</f>
        <v/>
      </c>
      <c r="O7" s="2">
        <f>IF(L7="","",N7-I7)</f>
        <v/>
      </c>
      <c r="P7" s="3">
        <f>IF(L7="","",O7/D7)</f>
        <v/>
      </c>
      <c r="Q7" s="4">
        <f>IF(L7="","",O7/C7)</f>
        <v/>
      </c>
    </row>
    <row r="8">
      <c r="A8" t="inlineStr">
        <is>
          <t>Body Glow</t>
        </is>
      </c>
      <c r="B8" t="n">
        <v>477</v>
      </c>
      <c r="C8" t="n">
        <v>509</v>
      </c>
      <c r="D8" s="2" t="n">
        <v>70600.05</v>
      </c>
      <c r="E8" s="2" t="n">
        <v>8390.91</v>
      </c>
      <c r="F8" s="3" t="n">
        <v>0.094</v>
      </c>
      <c r="G8" s="2" t="n">
        <v>5864.17</v>
      </c>
      <c r="H8" s="2" t="n">
        <v>7202.82</v>
      </c>
      <c r="I8" s="2">
        <f>G8+H8</f>
        <v/>
      </c>
      <c r="J8" s="4">
        <f>IFERROR(I8/C8,0)</f>
        <v/>
      </c>
      <c r="K8" s="3">
        <f>IFERROR(I8/D8,0)</f>
        <v/>
      </c>
      <c r="L8" s="5" t="n"/>
      <c r="M8" s="2">
        <f>IF(L8="","",L8*C8)</f>
        <v/>
      </c>
      <c r="N8" s="2">
        <f>IF(L8="","",D8-M8)</f>
        <v/>
      </c>
      <c r="O8" s="2">
        <f>IF(L8="","",N8-I8)</f>
        <v/>
      </c>
      <c r="P8" s="3">
        <f>IF(L8="","",O8/D8)</f>
        <v/>
      </c>
      <c r="Q8" s="4">
        <f>IF(L8="","",O8/C8)</f>
        <v/>
      </c>
    </row>
    <row r="9">
      <c r="A9" t="inlineStr">
        <is>
          <t>a'mie Into The Glow Collection</t>
        </is>
      </c>
      <c r="B9" t="n">
        <v>311</v>
      </c>
      <c r="C9" t="n">
        <v>319</v>
      </c>
      <c r="D9" s="2" t="n">
        <v>68132.11</v>
      </c>
      <c r="E9" s="2" t="n">
        <v>15440.05</v>
      </c>
      <c r="F9" s="3" t="n">
        <v>0.165</v>
      </c>
      <c r="G9" s="2" t="n">
        <v>2362.19</v>
      </c>
      <c r="H9" s="2" t="n">
        <v>22140.97</v>
      </c>
      <c r="I9" s="2">
        <f>G9+H9</f>
        <v/>
      </c>
      <c r="J9" s="4">
        <f>IFERROR(I9/C9,0)</f>
        <v/>
      </c>
      <c r="K9" s="3">
        <f>IFERROR(I9/D9,0)</f>
        <v/>
      </c>
      <c r="L9" s="5" t="n"/>
      <c r="M9" s="2">
        <f>IF(L9="","",L9*C9)</f>
        <v/>
      </c>
      <c r="N9" s="2">
        <f>IF(L9="","",D9-M9)</f>
        <v/>
      </c>
      <c r="O9" s="2">
        <f>IF(L9="","",N9-I9)</f>
        <v/>
      </c>
      <c r="P9" s="3">
        <f>IF(L9="","",O9/D9)</f>
        <v/>
      </c>
      <c r="Q9" s="4">
        <f>IF(L9="","",O9/C9)</f>
        <v/>
      </c>
    </row>
    <row r="10">
      <c r="A10" t="inlineStr">
        <is>
          <t>Lemongrass Set</t>
        </is>
      </c>
      <c r="B10" t="n">
        <v>283</v>
      </c>
      <c r="C10" t="n">
        <v>299</v>
      </c>
      <c r="D10" s="2" t="n">
        <v>53001.69</v>
      </c>
      <c r="E10" s="2" t="n">
        <v>6916.74</v>
      </c>
      <c r="F10" s="3" t="n">
        <v>0.102</v>
      </c>
      <c r="G10" s="2" t="n">
        <v>5247.26</v>
      </c>
      <c r="H10" s="2" t="n">
        <v>1579.07</v>
      </c>
      <c r="I10" s="2">
        <f>G10+H10</f>
        <v/>
      </c>
      <c r="J10" s="4">
        <f>IFERROR(I10/C10,0)</f>
        <v/>
      </c>
      <c r="K10" s="3">
        <f>IFERROR(I10/D10,0)</f>
        <v/>
      </c>
      <c r="L10" s="5" t="n"/>
      <c r="M10" s="2">
        <f>IF(L10="","",L10*C10)</f>
        <v/>
      </c>
      <c r="N10" s="2">
        <f>IF(L10="","",D10-M10)</f>
        <v/>
      </c>
      <c r="O10" s="2">
        <f>IF(L10="","",N10-I10)</f>
        <v/>
      </c>
      <c r="P10" s="3">
        <f>IF(L10="","",O10/D10)</f>
        <v/>
      </c>
      <c r="Q10" s="4">
        <f>IF(L10="","",O10/C10)</f>
        <v/>
      </c>
    </row>
    <row r="11">
      <c r="A11" t="inlineStr">
        <is>
          <t>Marshmello Body Highlighter Set</t>
        </is>
      </c>
      <c r="B11" t="n">
        <v>544</v>
      </c>
      <c r="C11" t="n">
        <v>564</v>
      </c>
      <c r="D11" s="2" t="n">
        <v>44148.71</v>
      </c>
      <c r="E11" s="2" t="n">
        <v>5066.88</v>
      </c>
      <c r="F11" s="3" t="n">
        <v>0.091</v>
      </c>
      <c r="G11" s="2" t="n">
        <v>3277.24</v>
      </c>
      <c r="H11" s="2" t="n">
        <v>6681.07</v>
      </c>
      <c r="I11" s="2">
        <f>G11+H11</f>
        <v/>
      </c>
      <c r="J11" s="4">
        <f>IFERROR(I11/C11,0)</f>
        <v/>
      </c>
      <c r="K11" s="3">
        <f>IFERROR(I11/D11,0)</f>
        <v/>
      </c>
      <c r="L11" s="5" t="n"/>
      <c r="M11" s="2">
        <f>IF(L11="","",L11*C11)</f>
        <v/>
      </c>
      <c r="N11" s="2">
        <f>IF(L11="","",D11-M11)</f>
        <v/>
      </c>
      <c r="O11" s="2">
        <f>IF(L11="","",N11-I11)</f>
        <v/>
      </c>
      <c r="P11" s="3">
        <f>IF(L11="","",O11/D11)</f>
        <v/>
      </c>
      <c r="Q11" s="4">
        <f>IF(L11="","",O11/C11)</f>
        <v/>
      </c>
    </row>
    <row r="12">
      <c r="A12" t="inlineStr">
        <is>
          <t>Natura Body Mist</t>
        </is>
      </c>
      <c r="B12" t="n">
        <v>294</v>
      </c>
      <c r="C12" t="n">
        <v>372</v>
      </c>
      <c r="D12" s="2" t="n">
        <v>37482.13</v>
      </c>
      <c r="E12" s="2" t="n">
        <v>4884.46</v>
      </c>
      <c r="F12" s="3" t="n">
        <v>0.102</v>
      </c>
      <c r="G12" s="2" t="n">
        <v>3600.99</v>
      </c>
      <c r="H12" s="2" t="n">
        <v>1363.49</v>
      </c>
      <c r="I12" s="2">
        <f>G12+H12</f>
        <v/>
      </c>
      <c r="J12" s="4">
        <f>IFERROR(I12/C12,0)</f>
        <v/>
      </c>
      <c r="K12" s="3">
        <f>IFERROR(I12/D12,0)</f>
        <v/>
      </c>
      <c r="L12" s="5" t="n"/>
      <c r="M12" s="2">
        <f>IF(L12="","",L12*C12)</f>
        <v/>
      </c>
      <c r="N12" s="2">
        <f>IF(L12="","",D12-M12)</f>
        <v/>
      </c>
      <c r="O12" s="2">
        <f>IF(L12="","",N12-I12)</f>
        <v/>
      </c>
      <c r="P12" s="3">
        <f>IF(L12="","",O12/D12)</f>
        <v/>
      </c>
      <c r="Q12" s="4">
        <f>IF(L12="","",O12/C12)</f>
        <v/>
      </c>
    </row>
    <row r="13">
      <c r="A13" t="inlineStr">
        <is>
          <t>Glittery Gold Tanning Gel 120ml</t>
        </is>
      </c>
      <c r="B13" t="n">
        <v>299</v>
      </c>
      <c r="C13" t="n">
        <v>309</v>
      </c>
      <c r="D13" s="2" t="n">
        <v>37324.68</v>
      </c>
      <c r="E13" s="2" t="n">
        <v>3120.24</v>
      </c>
      <c r="F13" s="3" t="n">
        <v>0.068</v>
      </c>
      <c r="G13" s="2" t="n">
        <v>3852.67</v>
      </c>
      <c r="H13" s="2" t="n">
        <v>3692.26</v>
      </c>
      <c r="I13" s="2">
        <f>G13+H13</f>
        <v/>
      </c>
      <c r="J13" s="4">
        <f>IFERROR(I13/C13,0)</f>
        <v/>
      </c>
      <c r="K13" s="3">
        <f>IFERROR(I13/D13,0)</f>
        <v/>
      </c>
      <c r="L13" s="5" t="n"/>
      <c r="M13" s="2">
        <f>IF(L13="","",L13*C13)</f>
        <v/>
      </c>
      <c r="N13" s="2">
        <f>IF(L13="","",D13-M13)</f>
        <v/>
      </c>
      <c r="O13" s="2">
        <f>IF(L13="","",N13-I13)</f>
        <v/>
      </c>
      <c r="P13" s="3">
        <f>IF(L13="","",O13/D13)</f>
        <v/>
      </c>
      <c r="Q13" s="4">
        <f>IF(L13="","",O13/C13)</f>
        <v/>
      </c>
    </row>
    <row r="14">
      <c r="A14" t="inlineStr">
        <is>
          <t>a'musk</t>
        </is>
      </c>
      <c r="B14" t="n">
        <v>387</v>
      </c>
      <c r="C14" t="n">
        <v>463</v>
      </c>
      <c r="D14" s="2" t="n">
        <v>36294.18</v>
      </c>
      <c r="E14" s="2" t="n">
        <v>4099.53</v>
      </c>
      <c r="F14" s="3" t="n">
        <v>0.08900000000000001</v>
      </c>
      <c r="G14" s="2" t="n">
        <v>3540.95</v>
      </c>
      <c r="H14" s="2" t="n">
        <v>3145.93</v>
      </c>
      <c r="I14" s="2">
        <f>G14+H14</f>
        <v/>
      </c>
      <c r="J14" s="4">
        <f>IFERROR(I14/C14,0)</f>
        <v/>
      </c>
      <c r="K14" s="3">
        <f>IFERROR(I14/D14,0)</f>
        <v/>
      </c>
      <c r="L14" s="5" t="n"/>
      <c r="M14" s="2">
        <f>IF(L14="","",L14*C14)</f>
        <v/>
      </c>
      <c r="N14" s="2">
        <f>IF(L14="","",D14-M14)</f>
        <v/>
      </c>
      <c r="O14" s="2">
        <f>IF(L14="","",N14-I14)</f>
        <v/>
      </c>
      <c r="P14" s="3">
        <f>IF(L14="","",O14/D14)</f>
        <v/>
      </c>
      <c r="Q14" s="4">
        <f>IF(L14="","",O14/C14)</f>
        <v/>
      </c>
    </row>
    <row r="15">
      <c r="A15" t="inlineStr">
        <is>
          <t>Flora Body Mist</t>
        </is>
      </c>
      <c r="B15" t="n">
        <v>258</v>
      </c>
      <c r="C15" t="n">
        <v>331</v>
      </c>
      <c r="D15" s="2" t="n">
        <v>33292.86</v>
      </c>
      <c r="E15" s="2" t="n">
        <v>4412.31</v>
      </c>
      <c r="F15" s="3" t="n">
        <v>0.103</v>
      </c>
      <c r="G15" s="2" t="n">
        <v>3330.08</v>
      </c>
      <c r="H15" s="2" t="n">
        <v>547.62</v>
      </c>
      <c r="I15" s="2">
        <f>G15+H15</f>
        <v/>
      </c>
      <c r="J15" s="4">
        <f>IFERROR(I15/C15,0)</f>
        <v/>
      </c>
      <c r="K15" s="3">
        <f>IFERROR(I15/D15,0)</f>
        <v/>
      </c>
      <c r="L15" s="5" t="n"/>
      <c r="M15" s="2">
        <f>IF(L15="","",L15*C15)</f>
        <v/>
      </c>
      <c r="N15" s="2">
        <f>IF(L15="","",D15-M15)</f>
        <v/>
      </c>
      <c r="O15" s="2">
        <f>IF(L15="","",N15-I15)</f>
        <v/>
      </c>
      <c r="P15" s="3">
        <f>IF(L15="","",O15/D15)</f>
        <v/>
      </c>
      <c r="Q15" s="4">
        <f>IF(L15="","",O15/C15)</f>
        <v/>
      </c>
    </row>
    <row r="16">
      <c r="A16" t="inlineStr">
        <is>
          <t>Chocolate Body Highlighter Set</t>
        </is>
      </c>
      <c r="B16" t="n">
        <v>381</v>
      </c>
      <c r="C16" t="n">
        <v>396</v>
      </c>
      <c r="D16" s="2" t="n">
        <v>31671.38</v>
      </c>
      <c r="E16" s="2" t="n">
        <v>2783.96</v>
      </c>
      <c r="F16" s="3" t="n">
        <v>0.07099999999999999</v>
      </c>
      <c r="G16" s="2" t="n">
        <v>2288.63</v>
      </c>
      <c r="H16" s="2" t="n">
        <v>5557.06</v>
      </c>
      <c r="I16" s="2">
        <f>G16+H16</f>
        <v/>
      </c>
      <c r="J16" s="4">
        <f>IFERROR(I16/C16,0)</f>
        <v/>
      </c>
      <c r="K16" s="3">
        <f>IFERROR(I16/D16,0)</f>
        <v/>
      </c>
      <c r="L16" s="5" t="n"/>
      <c r="M16" s="2">
        <f>IF(L16="","",L16*C16)</f>
        <v/>
      </c>
      <c r="N16" s="2">
        <f>IF(L16="","",D16-M16)</f>
        <v/>
      </c>
      <c r="O16" s="2">
        <f>IF(L16="","",N16-I16)</f>
        <v/>
      </c>
      <c r="P16" s="3">
        <f>IF(L16="","",O16/D16)</f>
        <v/>
      </c>
      <c r="Q16" s="4">
        <f>IF(L16="","",O16/C16)</f>
        <v/>
      </c>
    </row>
    <row r="17">
      <c r="A17" t="inlineStr">
        <is>
          <t>Foot Cream</t>
        </is>
      </c>
      <c r="B17" t="n">
        <v>281</v>
      </c>
      <c r="C17" t="n">
        <v>418</v>
      </c>
      <c r="D17" s="2" t="n">
        <v>24494.58</v>
      </c>
      <c r="E17" s="2" t="n">
        <v>3180.46</v>
      </c>
      <c r="F17" s="3" t="n">
        <v>0.101</v>
      </c>
      <c r="G17" s="2" t="n">
        <v>2429.62</v>
      </c>
      <c r="H17" s="2" t="n">
        <v>1151.32</v>
      </c>
      <c r="I17" s="2">
        <f>G17+H17</f>
        <v/>
      </c>
      <c r="J17" s="4">
        <f>IFERROR(I17/C17,0)</f>
        <v/>
      </c>
      <c r="K17" s="3">
        <f>IFERROR(I17/D17,0)</f>
        <v/>
      </c>
      <c r="L17" s="5" t="n"/>
      <c r="M17" s="2">
        <f>IF(L17="","",L17*C17)</f>
        <v/>
      </c>
      <c r="N17" s="2">
        <f>IF(L17="","",D17-M17)</f>
        <v/>
      </c>
      <c r="O17" s="2">
        <f>IF(L17="","",N17-I17)</f>
        <v/>
      </c>
      <c r="P17" s="3">
        <f>IF(L17="","",O17/D17)</f>
        <v/>
      </c>
      <c r="Q17" s="4">
        <f>IF(L17="","",O17/C17)</f>
        <v/>
      </c>
    </row>
    <row r="18">
      <c r="A18" t="inlineStr">
        <is>
          <t>Lemongrass Sea Salt Body Scrub 300ml</t>
        </is>
      </c>
      <c r="B18" t="n">
        <v>200</v>
      </c>
      <c r="C18" t="n">
        <v>225</v>
      </c>
      <c r="D18" s="2" t="n">
        <v>20702.33</v>
      </c>
      <c r="E18" s="2" t="n">
        <v>2966.93</v>
      </c>
      <c r="F18" s="3" t="n">
        <v>0.111</v>
      </c>
      <c r="G18" s="2" t="n">
        <v>1959.75</v>
      </c>
      <c r="H18" s="2" t="n">
        <v>1012.76</v>
      </c>
      <c r="I18" s="2">
        <f>G18+H18</f>
        <v/>
      </c>
      <c r="J18" s="4">
        <f>IFERROR(I18/C18,0)</f>
        <v/>
      </c>
      <c r="K18" s="3">
        <f>IFERROR(I18/D18,0)</f>
        <v/>
      </c>
      <c r="L18" s="5" t="n"/>
      <c r="M18" s="2">
        <f>IF(L18="","",L18*C18)</f>
        <v/>
      </c>
      <c r="N18" s="2">
        <f>IF(L18="","",D18-M18)</f>
        <v/>
      </c>
      <c r="O18" s="2">
        <f>IF(L18="","",N18-I18)</f>
        <v/>
      </c>
      <c r="P18" s="3">
        <f>IF(L18="","",O18/D18)</f>
        <v/>
      </c>
      <c r="Q18" s="4">
        <f>IF(L18="","",O18/C18)</f>
        <v/>
      </c>
    </row>
    <row r="19">
      <c r="A19" t="inlineStr">
        <is>
          <t>Sleek Secret Hair Mascara 15ml</t>
        </is>
      </c>
      <c r="B19" t="n">
        <v>290</v>
      </c>
      <c r="C19" t="n">
        <v>324</v>
      </c>
      <c r="D19" s="2" t="n">
        <v>18974.92</v>
      </c>
      <c r="E19" s="2" t="n">
        <v>2478.59</v>
      </c>
      <c r="F19" s="3" t="n">
        <v>0.102</v>
      </c>
      <c r="G19" s="2" t="n">
        <v>1801.66</v>
      </c>
      <c r="H19" s="2" t="n">
        <v>1350.11</v>
      </c>
      <c r="I19" s="2">
        <f>G19+H19</f>
        <v/>
      </c>
      <c r="J19" s="4">
        <f>IFERROR(I19/C19,0)</f>
        <v/>
      </c>
      <c r="K19" s="3">
        <f>IFERROR(I19/D19,0)</f>
        <v/>
      </c>
      <c r="L19" s="5" t="n"/>
      <c r="M19" s="2">
        <f>IF(L19="","",L19*C19)</f>
        <v/>
      </c>
      <c r="N19" s="2">
        <f>IF(L19="","",D19-M19)</f>
        <v/>
      </c>
      <c r="O19" s="2">
        <f>IF(L19="","",N19-I19)</f>
        <v/>
      </c>
      <c r="P19" s="3">
        <f>IF(L19="","",O19/D19)</f>
        <v/>
      </c>
      <c r="Q19" s="4">
        <f>IF(L19="","",O19/C19)</f>
        <v/>
      </c>
    </row>
    <row r="20">
      <c r="A20" t="inlineStr">
        <is>
          <t>a'mie Marshmello body highlighter</t>
        </is>
      </c>
      <c r="B20" t="n">
        <v>275</v>
      </c>
      <c r="C20" t="n">
        <v>279</v>
      </c>
      <c r="D20" s="2" t="n">
        <v>17369.01</v>
      </c>
      <c r="E20" s="2" t="n">
        <v>2066.3</v>
      </c>
      <c r="F20" s="3" t="n">
        <v>0.094</v>
      </c>
      <c r="G20" s="2" t="n">
        <v>1244.67</v>
      </c>
      <c r="H20" s="2" t="n">
        <v>2594</v>
      </c>
      <c r="I20" s="2">
        <f>G20+H20</f>
        <v/>
      </c>
      <c r="J20" s="4">
        <f>IFERROR(I20/C20,0)</f>
        <v/>
      </c>
      <c r="K20" s="3">
        <f>IFERROR(I20/D20,0)</f>
        <v/>
      </c>
      <c r="L20" s="5" t="n"/>
      <c r="M20" s="2">
        <f>IF(L20="","",L20*C20)</f>
        <v/>
      </c>
      <c r="N20" s="2">
        <f>IF(L20="","",D20-M20)</f>
        <v/>
      </c>
      <c r="O20" s="2">
        <f>IF(L20="","",N20-I20)</f>
        <v/>
      </c>
      <c r="P20" s="3">
        <f>IF(L20="","",O20/D20)</f>
        <v/>
      </c>
      <c r="Q20" s="4">
        <f>IF(L20="","",O20/C20)</f>
        <v/>
      </c>
    </row>
    <row r="21">
      <c r="A21" t="inlineStr">
        <is>
          <t>Back to Routine Set</t>
        </is>
      </c>
      <c r="B21" t="n">
        <v>67</v>
      </c>
      <c r="C21" t="n">
        <v>70</v>
      </c>
      <c r="D21" s="2" t="n">
        <v>16881.77</v>
      </c>
      <c r="E21" s="2" t="n">
        <v>2969.81</v>
      </c>
      <c r="F21" s="3" t="n">
        <v>0.133</v>
      </c>
      <c r="G21" s="2" t="n">
        <v>1675.44</v>
      </c>
      <c r="H21" s="2" t="n">
        <v>2697.96</v>
      </c>
      <c r="I21" s="2">
        <f>G21+H21</f>
        <v/>
      </c>
      <c r="J21" s="4">
        <f>IFERROR(I21/C21,0)</f>
        <v/>
      </c>
      <c r="K21" s="3">
        <f>IFERROR(I21/D21,0)</f>
        <v/>
      </c>
      <c r="L21" s="5" t="n"/>
      <c r="M21" s="2">
        <f>IF(L21="","",L21*C21)</f>
        <v/>
      </c>
      <c r="N21" s="2">
        <f>IF(L21="","",D21-M21)</f>
        <v/>
      </c>
      <c r="O21" s="2">
        <f>IF(L21="","",N21-I21)</f>
        <v/>
      </c>
      <c r="P21" s="3">
        <f>IF(L21="","",O21/D21)</f>
        <v/>
      </c>
      <c r="Q21" s="4">
        <f>IF(L21="","",O21/C21)</f>
        <v/>
      </c>
    </row>
    <row r="22">
      <c r="A22" t="inlineStr">
        <is>
          <t>Lemongrass Whipped Body Butter 250ml</t>
        </is>
      </c>
      <c r="B22" t="n">
        <v>124</v>
      </c>
      <c r="C22" t="n">
        <v>145</v>
      </c>
      <c r="D22" s="2" t="n">
        <v>13301.31</v>
      </c>
      <c r="E22" s="2" t="n">
        <v>1958.05</v>
      </c>
      <c r="F22" s="3" t="n">
        <v>0.113</v>
      </c>
      <c r="G22" s="2" t="n">
        <v>1303.99</v>
      </c>
      <c r="H22" s="2" t="n">
        <v>837.5</v>
      </c>
      <c r="I22" s="2">
        <f>G22+H22</f>
        <v/>
      </c>
      <c r="J22" s="4">
        <f>IFERROR(I22/C22,0)</f>
        <v/>
      </c>
      <c r="K22" s="3">
        <f>IFERROR(I22/D22,0)</f>
        <v/>
      </c>
      <c r="L22" s="5" t="n"/>
      <c r="M22" s="2">
        <f>IF(L22="","",L22*C22)</f>
        <v/>
      </c>
      <c r="N22" s="2">
        <f>IF(L22="","",D22-M22)</f>
        <v/>
      </c>
      <c r="O22" s="2">
        <f>IF(L22="","",N22-I22)</f>
        <v/>
      </c>
      <c r="P22" s="3">
        <f>IF(L22="","",O22/D22)</f>
        <v/>
      </c>
      <c r="Q22" s="4">
        <f>IF(L22="","",O22/C22)</f>
        <v/>
      </c>
    </row>
    <row r="23">
      <c r="A23" t="inlineStr">
        <is>
          <t>Lavender Set</t>
        </is>
      </c>
      <c r="B23" t="n">
        <v>60</v>
      </c>
      <c r="C23" t="n">
        <v>68</v>
      </c>
      <c r="D23" s="2" t="n">
        <v>11001.42</v>
      </c>
      <c r="E23" s="2" t="n">
        <v>931.92</v>
      </c>
      <c r="F23" s="3" t="n">
        <v>0.06900000000000001</v>
      </c>
      <c r="G23" s="2" t="n">
        <v>1065.95</v>
      </c>
      <c r="H23" s="2" t="n">
        <v>1051.99</v>
      </c>
      <c r="I23" s="2">
        <f>G23+H23</f>
        <v/>
      </c>
      <c r="J23" s="4">
        <f>IFERROR(I23/C23,0)</f>
        <v/>
      </c>
      <c r="K23" s="3">
        <f>IFERROR(I23/D23,0)</f>
        <v/>
      </c>
      <c r="L23" s="5" t="n"/>
      <c r="M23" s="2">
        <f>IF(L23="","",L23*C23)</f>
        <v/>
      </c>
      <c r="N23" s="2">
        <f>IF(L23="","",D23-M23)</f>
        <v/>
      </c>
      <c r="O23" s="2">
        <f>IF(L23="","",N23-I23)</f>
        <v/>
      </c>
      <c r="P23" s="3">
        <f>IF(L23="","",O23/D23)</f>
        <v/>
      </c>
      <c r="Q23" s="4">
        <f>IF(L23="","",O23/C23)</f>
        <v/>
      </c>
    </row>
    <row r="24">
      <c r="A24" t="inlineStr">
        <is>
          <t>a'mie Chocolate Body Highlighter</t>
        </is>
      </c>
      <c r="B24" t="n">
        <v>161</v>
      </c>
      <c r="C24" t="n">
        <v>165</v>
      </c>
      <c r="D24" s="2" t="n">
        <v>10383.94</v>
      </c>
      <c r="E24" s="2" t="n">
        <v>1094.64</v>
      </c>
      <c r="F24" s="3" t="n">
        <v>0.08400000000000001</v>
      </c>
      <c r="G24" s="2" t="n">
        <v>814.71</v>
      </c>
      <c r="H24" s="2" t="n">
        <v>1377.33</v>
      </c>
      <c r="I24" s="2">
        <f>G24+H24</f>
        <v/>
      </c>
      <c r="J24" s="4">
        <f>IFERROR(I24/C24,0)</f>
        <v/>
      </c>
      <c r="K24" s="3">
        <f>IFERROR(I24/D24,0)</f>
        <v/>
      </c>
      <c r="L24" s="5" t="n"/>
      <c r="M24" s="2">
        <f>IF(L24="","",L24*C24)</f>
        <v/>
      </c>
      <c r="N24" s="2">
        <f>IF(L24="","",D24-M24)</f>
        <v/>
      </c>
      <c r="O24" s="2">
        <f>IF(L24="","",N24-I24)</f>
        <v/>
      </c>
      <c r="P24" s="3">
        <f>IF(L24="","",O24/D24)</f>
        <v/>
      </c>
      <c r="Q24" s="4">
        <f>IF(L24="","",O24/C24)</f>
        <v/>
      </c>
    </row>
    <row r="25">
      <c r="A25" t="inlineStr">
        <is>
          <t>Lip Plump Balm 10ml</t>
        </is>
      </c>
      <c r="B25" t="n">
        <v>147</v>
      </c>
      <c r="C25" t="n">
        <v>176</v>
      </c>
      <c r="D25" s="2" t="n">
        <v>9389.27</v>
      </c>
      <c r="E25" s="2" t="n">
        <v>641.2</v>
      </c>
      <c r="F25" s="3" t="n">
        <v>0.05599999999999999</v>
      </c>
      <c r="G25" s="2" t="n">
        <v>928.97</v>
      </c>
      <c r="H25" s="2" t="n">
        <v>299.94</v>
      </c>
      <c r="I25" s="2">
        <f>G25+H25</f>
        <v/>
      </c>
      <c r="J25" s="4">
        <f>IFERROR(I25/C25,0)</f>
        <v/>
      </c>
      <c r="K25" s="3">
        <f>IFERROR(I25/D25,0)</f>
        <v/>
      </c>
      <c r="L25" s="5" t="n"/>
      <c r="M25" s="2">
        <f>IF(L25="","",L25*C25)</f>
        <v/>
      </c>
      <c r="N25" s="2">
        <f>IF(L25="","",D25-M25)</f>
        <v/>
      </c>
      <c r="O25" s="2">
        <f>IF(L25="","",N25-I25)</f>
        <v/>
      </c>
      <c r="P25" s="3">
        <f>IF(L25="","",O25/D25)</f>
        <v/>
      </c>
      <c r="Q25" s="4">
        <f>IF(L25="","",O25/C25)</f>
        <v/>
      </c>
    </row>
    <row r="26">
      <c r="A26" t="inlineStr">
        <is>
          <t>A'mi Bag</t>
        </is>
      </c>
      <c r="B26" t="n">
        <v>156</v>
      </c>
      <c r="C26" t="n">
        <v>164</v>
      </c>
      <c r="D26" s="2" t="n">
        <v>9001.4</v>
      </c>
      <c r="E26" s="2" t="n">
        <v>966.03</v>
      </c>
      <c r="F26" s="3" t="n">
        <v>0.08500000000000001</v>
      </c>
      <c r="G26" s="2" t="n">
        <v>865.4299999999999</v>
      </c>
      <c r="H26" s="2" t="n">
        <v>455.66</v>
      </c>
      <c r="I26" s="2">
        <f>G26+H26</f>
        <v/>
      </c>
      <c r="J26" s="4">
        <f>IFERROR(I26/C26,0)</f>
        <v/>
      </c>
      <c r="K26" s="3">
        <f>IFERROR(I26/D26,0)</f>
        <v/>
      </c>
      <c r="L26" s="5" t="n"/>
      <c r="M26" s="2">
        <f>IF(L26="","",L26*C26)</f>
        <v/>
      </c>
      <c r="N26" s="2">
        <f>IF(L26="","",D26-M26)</f>
        <v/>
      </c>
      <c r="O26" s="2">
        <f>IF(L26="","",N26-I26)</f>
        <v/>
      </c>
      <c r="P26" s="3">
        <f>IF(L26="","",O26/D26)</f>
        <v/>
      </c>
      <c r="Q26" s="4">
        <f>IF(L26="","",O26/C26)</f>
        <v/>
      </c>
    </row>
    <row r="27">
      <c r="A27" t="inlineStr">
        <is>
          <t>a'mie Sleek Brush</t>
        </is>
      </c>
      <c r="B27" t="n">
        <v>363</v>
      </c>
      <c r="C27" t="n">
        <v>383</v>
      </c>
      <c r="D27" s="2" t="n">
        <v>8522.610000000001</v>
      </c>
      <c r="E27" s="2" t="n">
        <v>1305.43</v>
      </c>
      <c r="F27" s="3" t="n">
        <v>0.118</v>
      </c>
      <c r="G27" s="2" t="n">
        <v>783.64</v>
      </c>
      <c r="H27" s="2" t="n">
        <v>1039.19</v>
      </c>
      <c r="I27" s="2">
        <f>G27+H27</f>
        <v/>
      </c>
      <c r="J27" s="4">
        <f>IFERROR(I27/C27,0)</f>
        <v/>
      </c>
      <c r="K27" s="3">
        <f>IFERROR(I27/D27,0)</f>
        <v/>
      </c>
      <c r="L27" s="5" t="n"/>
      <c r="M27" s="2">
        <f>IF(L27="","",L27*C27)</f>
        <v/>
      </c>
      <c r="N27" s="2">
        <f>IF(L27="","",D27-M27)</f>
        <v/>
      </c>
      <c r="O27" s="2">
        <f>IF(L27="","",N27-I27)</f>
        <v/>
      </c>
      <c r="P27" s="3">
        <f>IF(L27="","",O27/D27)</f>
        <v/>
      </c>
      <c r="Q27" s="4">
        <f>IF(L27="","",O27/C27)</f>
        <v/>
      </c>
    </row>
    <row r="28">
      <c r="A28" t="inlineStr">
        <is>
          <t>Makeup brush</t>
        </is>
      </c>
      <c r="B28" t="n">
        <v>111</v>
      </c>
      <c r="C28" t="n">
        <v>117</v>
      </c>
      <c r="D28" s="2" t="n">
        <v>3604.77</v>
      </c>
      <c r="E28" s="2" t="n">
        <v>418.53</v>
      </c>
      <c r="F28" s="3" t="n">
        <v>0.092</v>
      </c>
      <c r="G28" s="2" t="n">
        <v>292.62</v>
      </c>
      <c r="H28" s="2" t="n">
        <v>516.88</v>
      </c>
      <c r="I28" s="2">
        <f>G28+H28</f>
        <v/>
      </c>
      <c r="J28" s="4">
        <f>IFERROR(I28/C28,0)</f>
        <v/>
      </c>
      <c r="K28" s="3">
        <f>IFERROR(I28/D28,0)</f>
        <v/>
      </c>
      <c r="L28" s="5" t="n"/>
      <c r="M28" s="2">
        <f>IF(L28="","",L28*C28)</f>
        <v/>
      </c>
      <c r="N28" s="2">
        <f>IF(L28="","",D28-M28)</f>
        <v/>
      </c>
      <c r="O28" s="2">
        <f>IF(L28="","",N28-I28)</f>
        <v/>
      </c>
      <c r="P28" s="3">
        <f>IF(L28="","",O28/D28)</f>
        <v/>
      </c>
      <c r="Q28" s="4">
        <f>IF(L28="","",O28/C28)</f>
        <v/>
      </c>
    </row>
    <row r="29">
      <c r="A29" t="inlineStr">
        <is>
          <t>Dry body brush</t>
        </is>
      </c>
      <c r="B29" t="n">
        <v>115</v>
      </c>
      <c r="C29" t="n">
        <v>116</v>
      </c>
      <c r="D29" s="2" t="n">
        <v>3591.5</v>
      </c>
      <c r="E29" s="2" t="n">
        <v>393.62</v>
      </c>
      <c r="F29" s="3" t="n">
        <v>0.08699999999999999</v>
      </c>
      <c r="G29" s="2" t="n">
        <v>308.44</v>
      </c>
      <c r="H29" s="2" t="n">
        <v>466.92</v>
      </c>
      <c r="I29" s="2">
        <f>G29+H29</f>
        <v/>
      </c>
      <c r="J29" s="4">
        <f>IFERROR(I29/C29,0)</f>
        <v/>
      </c>
      <c r="K29" s="3">
        <f>IFERROR(I29/D29,0)</f>
        <v/>
      </c>
      <c r="L29" s="5" t="n"/>
      <c r="M29" s="2">
        <f>IF(L29="","",L29*C29)</f>
        <v/>
      </c>
      <c r="N29" s="2">
        <f>IF(L29="","",D29-M29)</f>
        <v/>
      </c>
      <c r="O29" s="2">
        <f>IF(L29="","",N29-I29)</f>
        <v/>
      </c>
      <c r="P29" s="3">
        <f>IF(L29="","",O29/D29)</f>
        <v/>
      </c>
      <c r="Q29" s="4">
        <f>IF(L29="","",O29/C29)</f>
        <v/>
      </c>
    </row>
    <row r="30">
      <c r="A30" t="inlineStr">
        <is>
          <t>a'mie Mini Favors — 10 pieces Musk</t>
        </is>
      </c>
      <c r="B30" t="n">
        <v>6</v>
      </c>
      <c r="C30" t="n">
        <v>6</v>
      </c>
      <c r="D30" s="2" t="n">
        <v>3559.29</v>
      </c>
      <c r="E30" s="2" t="n">
        <v>408.1</v>
      </c>
      <c r="F30" s="3" t="n">
        <v>0.091</v>
      </c>
      <c r="G30" s="2" t="n">
        <v>368.42</v>
      </c>
      <c r="H30" s="2" t="n">
        <v>13.17</v>
      </c>
      <c r="I30" s="2">
        <f>G30+H30</f>
        <v/>
      </c>
      <c r="J30" s="4">
        <f>IFERROR(I30/C30,0)</f>
        <v/>
      </c>
      <c r="K30" s="3">
        <f>IFERROR(I30/D30,0)</f>
        <v/>
      </c>
      <c r="L30" s="5" t="n"/>
      <c r="M30" s="2">
        <f>IF(L30="","",L30*C30)</f>
        <v/>
      </c>
      <c r="N30" s="2">
        <f>IF(L30="","",D30-M30)</f>
        <v/>
      </c>
      <c r="O30" s="2">
        <f>IF(L30="","",N30-I30)</f>
        <v/>
      </c>
      <c r="P30" s="3">
        <f>IF(L30="","",O30/D30)</f>
        <v/>
      </c>
      <c r="Q30" s="4">
        <f>IF(L30="","",O30/C30)</f>
        <v/>
      </c>
    </row>
    <row r="31">
      <c r="A31" t="inlineStr">
        <is>
          <t>a'mie Fluid-Shaped Luxury Mirror</t>
        </is>
      </c>
      <c r="B31" t="n">
        <v>98</v>
      </c>
      <c r="C31" t="n">
        <v>144</v>
      </c>
      <c r="D31" s="2" t="n">
        <v>3508.39</v>
      </c>
      <c r="E31" s="2" t="n">
        <v>573.25</v>
      </c>
      <c r="F31" s="3" t="n">
        <v>0.124</v>
      </c>
      <c r="G31" s="2" t="n">
        <v>345.87</v>
      </c>
      <c r="H31" s="2" t="n">
        <v>71.65000000000001</v>
      </c>
      <c r="I31" s="2">
        <f>G31+H31</f>
        <v/>
      </c>
      <c r="J31" s="4">
        <f>IFERROR(I31/C31,0)</f>
        <v/>
      </c>
      <c r="K31" s="3">
        <f>IFERROR(I31/D31,0)</f>
        <v/>
      </c>
      <c r="L31" s="5" t="n"/>
      <c r="M31" s="2">
        <f>IF(L31="","",L31*C31)</f>
        <v/>
      </c>
      <c r="N31" s="2">
        <f>IF(L31="","",D31-M31)</f>
        <v/>
      </c>
      <c r="O31" s="2">
        <f>IF(L31="","",N31-I31)</f>
        <v/>
      </c>
      <c r="P31" s="3">
        <f>IF(L31="","",O31/D31)</f>
        <v/>
      </c>
      <c r="Q31" s="4">
        <f>IF(L31="","",O31/C31)</f>
        <v/>
      </c>
    </row>
    <row r="32">
      <c r="A32" t="inlineStr">
        <is>
          <t>a'mie Mini Favors — 10 pieces lip plump</t>
        </is>
      </c>
      <c r="B32" t="n">
        <v>6</v>
      </c>
      <c r="C32" t="n">
        <v>6</v>
      </c>
      <c r="D32" s="2" t="n">
        <v>2569</v>
      </c>
      <c r="E32" s="2" t="n">
        <v>0</v>
      </c>
      <c r="F32" s="3" t="n">
        <v>0</v>
      </c>
      <c r="G32" s="2" t="n">
        <v>265.92</v>
      </c>
      <c r="H32" s="2" t="n">
        <v>9.5</v>
      </c>
      <c r="I32" s="2">
        <f>G32+H32</f>
        <v/>
      </c>
      <c r="J32" s="4">
        <f>IFERROR(I32/C32,0)</f>
        <v/>
      </c>
      <c r="K32" s="3">
        <f>IFERROR(I32/D32,0)</f>
        <v/>
      </c>
      <c r="L32" s="5" t="n"/>
      <c r="M32" s="2">
        <f>IF(L32="","",L32*C32)</f>
        <v/>
      </c>
      <c r="N32" s="2">
        <f>IF(L32="","",D32-M32)</f>
        <v/>
      </c>
      <c r="O32" s="2">
        <f>IF(L32="","",N32-I32)</f>
        <v/>
      </c>
      <c r="P32" s="3">
        <f>IF(L32="","",O32/D32)</f>
        <v/>
      </c>
      <c r="Q32" s="4">
        <f>IF(L32="","",O32/C32)</f>
        <v/>
      </c>
    </row>
    <row r="33">
      <c r="A33" t="inlineStr">
        <is>
          <t>a'mie Bag</t>
        </is>
      </c>
      <c r="B33" t="n">
        <v>61</v>
      </c>
      <c r="C33" t="n">
        <v>67</v>
      </c>
      <c r="D33" s="2" t="n">
        <v>2472.23</v>
      </c>
      <c r="E33" s="2" t="n">
        <v>439.93</v>
      </c>
      <c r="F33" s="3" t="n">
        <v>0.134</v>
      </c>
      <c r="G33" s="2" t="n">
        <v>225.47</v>
      </c>
      <c r="H33" s="2" t="n">
        <v>104.93</v>
      </c>
      <c r="I33" s="2">
        <f>G33+H33</f>
        <v/>
      </c>
      <c r="J33" s="4">
        <f>IFERROR(I33/C33,0)</f>
        <v/>
      </c>
      <c r="K33" s="3">
        <f>IFERROR(I33/D33,0)</f>
        <v/>
      </c>
      <c r="L33" s="5" t="n"/>
      <c r="M33" s="2">
        <f>IF(L33="","",L33*C33)</f>
        <v/>
      </c>
      <c r="N33" s="2">
        <f>IF(L33="","",D33-M33)</f>
        <v/>
      </c>
      <c r="O33" s="2">
        <f>IF(L33="","",N33-I33)</f>
        <v/>
      </c>
      <c r="P33" s="3">
        <f>IF(L33="","",O33/D33)</f>
        <v/>
      </c>
      <c r="Q33" s="4">
        <f>IF(L33="","",O33/C33)</f>
        <v/>
      </c>
    </row>
    <row r="34">
      <c r="A34" t="inlineStr">
        <is>
          <t>a'mie Signature Gift Box</t>
        </is>
      </c>
      <c r="B34" t="n">
        <v>7</v>
      </c>
      <c r="C34" t="n">
        <v>11</v>
      </c>
      <c r="D34" s="2" t="n">
        <v>1688.83</v>
      </c>
      <c r="E34" s="2" t="n">
        <v>26.85</v>
      </c>
      <c r="F34" s="3" t="n">
        <v>0.014</v>
      </c>
      <c r="G34" s="2" t="n">
        <v>174.81</v>
      </c>
      <c r="H34" s="2" t="n">
        <v>6.25</v>
      </c>
      <c r="I34" s="2">
        <f>G34+H34</f>
        <v/>
      </c>
      <c r="J34" s="4">
        <f>IFERROR(I34/C34,0)</f>
        <v/>
      </c>
      <c r="K34" s="3">
        <f>IFERROR(I34/D34,0)</f>
        <v/>
      </c>
      <c r="L34" s="5" t="n"/>
      <c r="M34" s="2">
        <f>IF(L34="","",L34*C34)</f>
        <v/>
      </c>
      <c r="N34" s="2">
        <f>IF(L34="","",D34-M34)</f>
        <v/>
      </c>
      <c r="O34" s="2">
        <f>IF(L34="","",N34-I34)</f>
        <v/>
      </c>
      <c r="P34" s="3">
        <f>IF(L34="","",O34/D34)</f>
        <v/>
      </c>
      <c r="Q34" s="4">
        <f>IF(L34="","",O34/C34)</f>
        <v/>
      </c>
    </row>
    <row r="35">
      <c r="A35" t="inlineStr">
        <is>
          <t>Lavender scrub</t>
        </is>
      </c>
      <c r="B35" t="n">
        <v>12</v>
      </c>
      <c r="C35" t="n">
        <v>17</v>
      </c>
      <c r="D35" s="2" t="n">
        <v>1580.43</v>
      </c>
      <c r="E35" s="2" t="n">
        <v>154.66</v>
      </c>
      <c r="F35" s="3" t="n">
        <v>0.078</v>
      </c>
      <c r="G35" s="2" t="n">
        <v>163.59</v>
      </c>
      <c r="H35" s="2" t="n">
        <v>5.85</v>
      </c>
      <c r="I35" s="2">
        <f>G35+H35</f>
        <v/>
      </c>
      <c r="J35" s="4">
        <f>IFERROR(I35/C35,0)</f>
        <v/>
      </c>
      <c r="K35" s="3">
        <f>IFERROR(I35/D35,0)</f>
        <v/>
      </c>
      <c r="L35" s="5" t="n"/>
      <c r="M35" s="2">
        <f>IF(L35="","",L35*C35)</f>
        <v/>
      </c>
      <c r="N35" s="2">
        <f>IF(L35="","",D35-M35)</f>
        <v/>
      </c>
      <c r="O35" s="2">
        <f>IF(L35="","",N35-I35)</f>
        <v/>
      </c>
      <c r="P35" s="3">
        <f>IF(L35="","",O35/D35)</f>
        <v/>
      </c>
      <c r="Q35" s="4">
        <f>IF(L35="","",O35/C35)</f>
        <v/>
      </c>
    </row>
    <row r="36">
      <c r="A36" t="inlineStr">
        <is>
          <t>توزيعات ايمي</t>
        </is>
      </c>
      <c r="B36" t="n">
        <v>2</v>
      </c>
      <c r="C36" t="n">
        <v>2</v>
      </c>
      <c r="D36" s="2" t="n">
        <v>1297.04</v>
      </c>
      <c r="E36" s="2" t="n">
        <v>316.4</v>
      </c>
      <c r="F36" s="3" t="n">
        <v>0.175</v>
      </c>
      <c r="G36" s="2" t="n">
        <v>134.26</v>
      </c>
      <c r="H36" s="2" t="n">
        <v>4.8</v>
      </c>
      <c r="I36" s="2">
        <f>G36+H36</f>
        <v/>
      </c>
      <c r="J36" s="4">
        <f>IFERROR(I36/C36,0)</f>
        <v/>
      </c>
      <c r="K36" s="3">
        <f>IFERROR(I36/D36,0)</f>
        <v/>
      </c>
      <c r="L36" s="5" t="n"/>
      <c r="M36" s="2">
        <f>IF(L36="","",L36*C36)</f>
        <v/>
      </c>
      <c r="N36" s="2">
        <f>IF(L36="","",D36-M36)</f>
        <v/>
      </c>
      <c r="O36" s="2">
        <f>IF(L36="","",N36-I36)</f>
        <v/>
      </c>
      <c r="P36" s="3">
        <f>IF(L36="","",O36/D36)</f>
        <v/>
      </c>
      <c r="Q36" s="4">
        <f>IF(L36="","",O36/C36)</f>
        <v/>
      </c>
    </row>
    <row r="37">
      <c r="A37" t="inlineStr">
        <is>
          <t>Lavender Butter</t>
        </is>
      </c>
      <c r="B37" t="n">
        <v>8</v>
      </c>
      <c r="C37" t="n">
        <v>9</v>
      </c>
      <c r="D37" s="2" t="n">
        <v>827.13</v>
      </c>
      <c r="E37" s="2" t="n">
        <v>92.8</v>
      </c>
      <c r="F37" s="3" t="n">
        <v>0.08900000000000001</v>
      </c>
      <c r="G37" s="2" t="n">
        <v>85.62</v>
      </c>
      <c r="H37" s="2" t="n">
        <v>3.06</v>
      </c>
      <c r="I37" s="2">
        <f>G37+H37</f>
        <v/>
      </c>
      <c r="J37" s="4">
        <f>IFERROR(I37/C37,0)</f>
        <v/>
      </c>
      <c r="K37" s="3">
        <f>IFERROR(I37/D37,0)</f>
        <v/>
      </c>
      <c r="L37" s="5" t="n"/>
      <c r="M37" s="2">
        <f>IF(L37="","",L37*C37)</f>
        <v/>
      </c>
      <c r="N37" s="2">
        <f>IF(L37="","",D37-M37)</f>
        <v/>
      </c>
      <c r="O37" s="2">
        <f>IF(L37="","",N37-I37)</f>
        <v/>
      </c>
      <c r="P37" s="3">
        <f>IF(L37="","",O37/D37)</f>
        <v/>
      </c>
      <c r="Q37" s="4">
        <f>IF(L37="","",O37/C37)</f>
        <v/>
      </c>
    </row>
    <row r="38">
      <c r="A38" t="inlineStr">
        <is>
          <t>كيس التوزيعات ( الصغير )</t>
        </is>
      </c>
      <c r="B38" t="n">
        <v>17</v>
      </c>
      <c r="C38" t="n">
        <v>52</v>
      </c>
      <c r="D38" s="2" t="n">
        <v>115.59</v>
      </c>
      <c r="E38" s="2" t="n">
        <v>23.07</v>
      </c>
      <c r="F38" s="3" t="n">
        <v>0.148</v>
      </c>
      <c r="G38" s="2" t="n">
        <v>11.24</v>
      </c>
      <c r="H38" s="2" t="n">
        <v>1.64</v>
      </c>
      <c r="I38" s="2">
        <f>G38+H38</f>
        <v/>
      </c>
      <c r="J38" s="4">
        <f>IFERROR(I38/C38,0)</f>
        <v/>
      </c>
      <c r="K38" s="3">
        <f>IFERROR(I38/D38,0)</f>
        <v/>
      </c>
      <c r="L38" s="5" t="n"/>
      <c r="M38" s="2">
        <f>IF(L38="","",L38*C38)</f>
        <v/>
      </c>
      <c r="N38" s="2">
        <f>IF(L38="","",D38-M38)</f>
        <v/>
      </c>
      <c r="O38" s="2">
        <f>IF(L38="","",N38-I38)</f>
        <v/>
      </c>
      <c r="P38" s="3">
        <f>IF(L38="","",O38/D38)</f>
        <v/>
      </c>
      <c r="Q38" s="4">
        <f>IF(L38="","",O38/C38)</f>
        <v/>
      </c>
    </row>
    <row r="39">
      <c r="A39" t="inlineStr">
        <is>
          <t>كيس التوزيعات ( الكبير )</t>
        </is>
      </c>
      <c r="B39" t="n">
        <v>6</v>
      </c>
      <c r="C39" t="n">
        <v>6</v>
      </c>
      <c r="D39" s="2" t="n">
        <v>23.26</v>
      </c>
      <c r="E39" s="2" t="n">
        <v>3.25</v>
      </c>
      <c r="F39" s="3" t="n">
        <v>0.108</v>
      </c>
      <c r="G39" s="2" t="n">
        <v>2.41</v>
      </c>
      <c r="H39" s="2" t="n">
        <v>0.09</v>
      </c>
      <c r="I39" s="2">
        <f>G39+H39</f>
        <v/>
      </c>
      <c r="J39" s="4">
        <f>IFERROR(I39/C39,0)</f>
        <v/>
      </c>
      <c r="K39" s="3">
        <f>IFERROR(I39/D39,0)</f>
        <v/>
      </c>
      <c r="L39" s="5" t="n"/>
      <c r="M39" s="2">
        <f>IF(L39="","",L39*C39)</f>
        <v/>
      </c>
      <c r="N39" s="2">
        <f>IF(L39="","",D39-M39)</f>
        <v/>
      </c>
      <c r="O39" s="2">
        <f>IF(L39="","",N39-I39)</f>
        <v/>
      </c>
      <c r="P39" s="3">
        <f>IF(L39="","",O39/D39)</f>
        <v/>
      </c>
      <c r="Q39" s="4">
        <f>IF(L39="","",O39/C39)</f>
        <v/>
      </c>
    </row>
    <row r="40">
      <c r="A40" s="6" t="inlineStr">
        <is>
          <t>الإجمالي</t>
        </is>
      </c>
      <c r="B40" s="6">
        <f>SUM(B2:B39)</f>
        <v/>
      </c>
      <c r="C40" s="6">
        <f>SUM(C2:C39)</f>
        <v/>
      </c>
      <c r="D40" s="7">
        <f>SUM(D2:D39)</f>
        <v/>
      </c>
      <c r="E40" s="7">
        <f>SUM(E2:E39)</f>
        <v/>
      </c>
      <c r="F40" s="3" t="n"/>
      <c r="G40" s="7">
        <f>SUM(G2:G39)</f>
        <v/>
      </c>
      <c r="H40" s="7">
        <f>SUM(H2:H39)</f>
        <v/>
      </c>
      <c r="I40" s="7">
        <f>SUM(I2:I39)</f>
        <v/>
      </c>
      <c r="J40" s="4">
        <f>I40/C40</f>
        <v/>
      </c>
      <c r="K40" s="3">
        <f>I40/D40</f>
        <v/>
      </c>
      <c r="L40" s="4" t="n"/>
      <c r="M40" s="7">
        <f>SUM(M2:M39)</f>
        <v/>
      </c>
      <c r="N40" s="7">
        <f>SUM(N2:N39)</f>
        <v/>
      </c>
      <c r="O40" s="7">
        <f>SUM(O2:O39)</f>
        <v/>
      </c>
      <c r="P40" s="3">
        <f>IFERROR(O40/D40,"")</f>
        <v/>
      </c>
      <c r="Q40"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rightToLeft="1" workbookViewId="0">
      <selection activeCell="A1" sqref="A1"/>
    </sheetView>
  </sheetViews>
  <sheetFormatPr baseColWidth="8" defaultRowHeight="15"/>
  <cols>
    <col width="52" customWidth="1" min="1" max="1"/>
    <col width="18" customWidth="1" min="2" max="2"/>
    <col width="60" customWidth="1" min="3" max="3"/>
  </cols>
  <sheetData>
    <row r="1" ht="45" customHeight="1">
      <c r="A1" s="1" t="inlineStr">
        <is>
          <t>البند</t>
        </is>
      </c>
      <c r="B1" s="1" t="inlineStr">
        <is>
          <t>القيمة (ريال)</t>
        </is>
      </c>
      <c r="C1" s="1" t="inlineStr">
        <is>
          <t>ملاحظة</t>
        </is>
      </c>
    </row>
    <row r="2">
      <c r="A2" t="inlineStr">
        <is>
          <t>الفترة</t>
        </is>
      </c>
      <c r="B2" s="4" t="inlineStr">
        <is>
          <t>1 مايو – 24 أكتوبر 2026</t>
        </is>
      </c>
      <c r="C2" t="inlineStr"/>
    </row>
    <row r="3">
      <c r="A3" t="inlineStr">
        <is>
          <t>عدد الطلبات</t>
        </is>
      </c>
      <c r="B3" s="4" t="n">
        <v>6400</v>
      </c>
      <c r="C3" t="inlineStr"/>
    </row>
    <row r="4">
      <c r="A4" t="inlineStr">
        <is>
          <t>صافي مبيعات المنتجات (بدون ضريبة، بعد الخصم)</t>
        </is>
      </c>
      <c r="B4" s="4">
        <f>'المنتجات'!D40</f>
        <v/>
      </c>
      <c r="C4" t="inlineStr">
        <is>
          <t>من طلبات زد</t>
        </is>
      </c>
    </row>
    <row r="5">
      <c r="A5" t="inlineStr">
        <is>
          <t>إيراد الشحن المحصّل (بدون ضريبة)</t>
        </is>
      </c>
      <c r="B5" s="4" t="n">
        <v>142029.05</v>
      </c>
      <c r="C5" t="inlineStr"/>
    </row>
    <row r="6">
      <c r="A6" s="6" t="inlineStr">
        <is>
          <t>إجمالي الإيراد</t>
        </is>
      </c>
      <c r="B6" s="8">
        <f>B4+B5</f>
        <v/>
      </c>
      <c r="C6" t="inlineStr"/>
    </row>
    <row r="7">
      <c r="A7" t="inlineStr">
        <is>
          <t>تكلفة البضاعة</t>
        </is>
      </c>
      <c r="B7" s="4">
        <f>'المنتجات'!M40</f>
        <v/>
      </c>
      <c r="C7" t="inlineStr">
        <is>
          <t>تتحسب لما تدخل تكلفة القطعة في شيت المنتجات</t>
        </is>
      </c>
    </row>
    <row r="8">
      <c r="A8" t="inlineStr">
        <is>
          <t>تكلفة الشحن الفعلية لكل طلب</t>
        </is>
      </c>
      <c r="B8" s="5" t="n"/>
      <c r="C8" t="inlineStr">
        <is>
          <t>أدخلها</t>
        </is>
      </c>
    </row>
    <row r="9">
      <c r="A9" t="inlineStr">
        <is>
          <t>إجمالي تكلفة الشحن</t>
        </is>
      </c>
      <c r="B9" s="4">
        <f>B8*B3</f>
        <v/>
      </c>
      <c r="C9" t="inlineStr"/>
    </row>
    <row r="10">
      <c r="A10" t="inlineStr">
        <is>
          <t>متوسط رسوم الدفع %</t>
        </is>
      </c>
      <c r="B10" s="9" t="n"/>
      <c r="C10" t="inlineStr">
        <is>
          <t>أدخلها (Apple Pay 73.5%، تمارا 11.9%، تابي 11.6%، بطاقات 3%)</t>
        </is>
      </c>
    </row>
    <row r="11">
      <c r="A11" t="inlineStr">
        <is>
          <t>إجمالي رسوم الدفع</t>
        </is>
      </c>
      <c r="B11" s="4">
        <f>B10*B6</f>
        <v/>
      </c>
      <c r="C11" t="inlineStr"/>
    </row>
    <row r="12">
      <c r="A12" s="6" t="inlineStr">
        <is>
          <t>الربح بعد البضاعة والشحن والدفع</t>
        </is>
      </c>
      <c r="B12" s="8">
        <f>B6-B7-B9-B11</f>
        <v/>
      </c>
      <c r="C12" t="inlineStr"/>
    </row>
    <row r="13">
      <c r="A13" t="inlineStr">
        <is>
          <t>الإعلانات (ميتا، سناب، تيك توك، جوجل)</t>
        </is>
      </c>
      <c r="B13" s="4">
        <f>'المنتجات'!G40</f>
        <v/>
      </c>
      <c r="C13" t="inlineStr"/>
    </row>
    <row r="14">
      <c r="A14" t="inlineStr">
        <is>
          <t>المؤثرون</t>
        </is>
      </c>
      <c r="B14" s="4">
        <f>'المنتجات'!H40</f>
        <v/>
      </c>
      <c r="C14" t="inlineStr">
        <is>
          <t>من القيود المحاسبية + نجلاء من الشيت</t>
        </is>
      </c>
    </row>
    <row r="15">
      <c r="A15" s="6" t="inlineStr">
        <is>
          <t>إجمالي التسويق</t>
        </is>
      </c>
      <c r="B15" s="8">
        <f>B13+B14</f>
        <v/>
      </c>
      <c r="C15" t="inlineStr"/>
    </row>
    <row r="16">
      <c r="A16" t="inlineStr">
        <is>
          <t>التسويق % من صافي المبيعات</t>
        </is>
      </c>
      <c r="B16" s="3">
        <f>B15/B4</f>
        <v/>
      </c>
      <c r="C16" t="inlineStr"/>
    </row>
    <row r="17">
      <c r="A17" s="6" t="inlineStr">
        <is>
          <t>الربح بعد التسويق</t>
        </is>
      </c>
      <c r="B17" s="8">
        <f>B12-B15</f>
        <v/>
      </c>
      <c r="C17" t="inlineStr"/>
    </row>
    <row r="18">
      <c r="A18" t="inlineStr">
        <is>
          <t>مصاريف ثابتة شهرية (رواتب، إيجار، تطبيقات، مخزن)</t>
        </is>
      </c>
      <c r="B18" s="5" t="n"/>
      <c r="C18" t="inlineStr">
        <is>
          <t>أدخلها</t>
        </is>
      </c>
    </row>
    <row r="19">
      <c r="A19" t="inlineStr">
        <is>
          <t>المصاريف الثابتة للفترة (5.8 شهر)</t>
        </is>
      </c>
      <c r="B19" s="4">
        <f>B18*5.8</f>
        <v/>
      </c>
      <c r="C19" t="inlineStr"/>
    </row>
    <row r="20">
      <c r="A20" s="6" t="inlineStr">
        <is>
          <t>صافي الربح التقديري</t>
        </is>
      </c>
      <c r="B20" s="8">
        <f>B17-B19</f>
        <v/>
      </c>
      <c r="C20" t="inlineStr"/>
    </row>
    <row r="21">
      <c r="A21" t="inlineStr">
        <is>
          <t>هامش صافي الربح</t>
        </is>
      </c>
      <c r="B21" s="3">
        <f>IFERROR(B20/B6,"")</f>
        <v/>
      </c>
      <c r="C21" t="inlineStr"/>
    </row>
    <row r="22">
      <c r="A22" t="inlineStr">
        <is>
          <t>كل ريال تسويق لازم يجيب كام ريال مبيعات عشان نتعادل</t>
        </is>
      </c>
      <c r="B22" s="4">
        <f>IFERROR(B4/B12*1,"")</f>
        <v/>
      </c>
      <c r="C22" t="inlineStr">
        <is>
          <t>صافي المبيعات ÷ الربح قبل التسويق (يتحسب بعد إدخال التكاليف)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rightToLeft="1" workbookViewId="0">
      <selection activeCell="A1" sqref="A1"/>
    </sheetView>
  </sheetViews>
  <sheetFormatPr baseColWidth="8" defaultRowHeight="15"/>
  <cols>
    <col width="34" customWidth="1" min="1" max="1"/>
    <col width="18" customWidth="1" min="2" max="2"/>
    <col width="44" customWidth="1" min="3" max="3"/>
    <col width="20" customWidth="1" min="4" max="4"/>
    <col width="16" customWidth="1" min="5" max="5"/>
  </cols>
  <sheetData>
    <row r="1" ht="45" customHeight="1">
      <c r="A1" s="1" t="inlineStr">
        <is>
          <t>الكود</t>
        </is>
      </c>
      <c r="B1" s="1" t="inlineStr">
        <is>
          <t>التكلفة (بدون ضريبة)</t>
        </is>
      </c>
      <c r="C1" s="1" t="inlineStr">
        <is>
          <t>المصدر</t>
        </is>
      </c>
      <c r="D1" s="1" t="inlineStr">
        <is>
          <t>مبيعات الكود بدون ضريبة</t>
        </is>
      </c>
      <c r="E1" s="1" t="inlineStr">
        <is>
          <t>العائد على المبيعات</t>
        </is>
      </c>
    </row>
    <row r="2">
      <c r="A2" t="inlineStr">
        <is>
          <t>SH</t>
        </is>
      </c>
      <c r="B2" s="2" t="n">
        <v>11000</v>
      </c>
      <c r="C2" t="inlineStr">
        <is>
          <t>ledger</t>
        </is>
      </c>
      <c r="D2" s="2" t="n">
        <v>6567.25</v>
      </c>
      <c r="E2" s="10">
        <f>IFERROR(D2/B2,"")</f>
        <v/>
      </c>
    </row>
    <row r="3">
      <c r="A3" t="inlineStr">
        <is>
          <t>Y10</t>
        </is>
      </c>
      <c r="B3" s="2" t="n">
        <v>15000</v>
      </c>
      <c r="C3" t="inlineStr">
        <is>
          <t>ledger</t>
        </is>
      </c>
      <c r="D3" s="2" t="n">
        <v>34543.96</v>
      </c>
      <c r="E3" s="10">
        <f>IFERROR(D3/B3,"")</f>
        <v/>
      </c>
    </row>
    <row r="4">
      <c r="A4" t="inlineStr">
        <is>
          <t>LULU</t>
        </is>
      </c>
      <c r="B4" s="2" t="n">
        <v>30000</v>
      </c>
      <c r="C4" t="inlineStr">
        <is>
          <t>ledger</t>
        </is>
      </c>
      <c r="D4" s="2" t="n">
        <v>58324.34</v>
      </c>
      <c r="E4" s="10">
        <f>IFERROR(D4/B4,"")</f>
        <v/>
      </c>
    </row>
    <row r="5">
      <c r="A5" t="inlineStr">
        <is>
          <t>FTD</t>
        </is>
      </c>
      <c r="B5" s="2" t="n">
        <v>12000</v>
      </c>
      <c r="C5" t="inlineStr">
        <is>
          <t>ledger</t>
        </is>
      </c>
      <c r="D5" s="2" t="n">
        <v>13733.84</v>
      </c>
      <c r="E5" s="10">
        <f>IFERROR(D5/B5,"")</f>
        <v/>
      </c>
    </row>
    <row r="6">
      <c r="A6" t="inlineStr">
        <is>
          <t>Sh10</t>
        </is>
      </c>
      <c r="B6" s="2" t="n">
        <v>15000</v>
      </c>
      <c r="C6" t="inlineStr">
        <is>
          <t>ledger</t>
        </is>
      </c>
      <c r="D6" s="2" t="n">
        <v>6012.05</v>
      </c>
      <c r="E6" s="10">
        <f>IFERROR(D6/B6,"")</f>
        <v/>
      </c>
    </row>
    <row r="7">
      <c r="A7" t="inlineStr">
        <is>
          <t>RGD20</t>
        </is>
      </c>
      <c r="B7" s="2" t="n">
        <v>11101.59</v>
      </c>
      <c r="C7" t="inlineStr">
        <is>
          <t>ledger</t>
        </is>
      </c>
      <c r="D7" s="2" t="n">
        <v>1809.89</v>
      </c>
      <c r="E7" s="10">
        <f>IFERROR(D7/B7,"")</f>
        <v/>
      </c>
    </row>
    <row r="8">
      <c r="A8" t="inlineStr">
        <is>
          <t>HS15</t>
        </is>
      </c>
      <c r="B8" s="2" t="n">
        <v>9375</v>
      </c>
      <c r="C8" t="inlineStr">
        <is>
          <t>ledger</t>
        </is>
      </c>
      <c r="D8" s="2" t="n">
        <v>1739.73</v>
      </c>
      <c r="E8" s="10">
        <f>IFERROR(D8/B8,"")</f>
        <v/>
      </c>
    </row>
    <row r="9">
      <c r="A9" t="inlineStr">
        <is>
          <t>NAJLA</t>
        </is>
      </c>
      <c r="B9" s="2" t="n">
        <v>30000</v>
      </c>
      <c r="C9" t="inlineStr">
        <is>
          <t>sheet (34,500 incl VAT) - not in ledger</t>
        </is>
      </c>
      <c r="D9" s="2" t="n">
        <v>77312.2</v>
      </c>
      <c r="E9" s="10">
        <f>IFERROR(D9/B9,"")</f>
        <v/>
      </c>
    </row>
    <row r="11">
      <c r="A11" s="6" t="inlineStr">
        <is>
          <t>تكاليف بدون كود (محمّلة على منتج أو على الكل)</t>
        </is>
      </c>
    </row>
    <row r="12">
      <c r="A12" t="inlineStr">
        <is>
          <t>رايات التأثير / Dur bali</t>
        </is>
      </c>
      <c r="B12" t="n">
        <v>13000</v>
      </c>
      <c r="C12" t="inlineStr">
        <is>
          <t>محمّلة على Hair Set</t>
        </is>
      </c>
    </row>
    <row r="13">
      <c r="A13" t="inlineStr">
        <is>
          <t>موديل ليلى</t>
        </is>
      </c>
      <c r="B13" t="n">
        <v>1500</v>
      </c>
      <c r="C13" t="inlineStr">
        <is>
          <t>عامة: موزعة على كل المنتجات حسب المبيعات</t>
        </is>
      </c>
    </row>
    <row r="14">
      <c r="A14" t="inlineStr">
        <is>
          <t>كاترين</t>
        </is>
      </c>
      <c r="B14" t="n">
        <v>3000</v>
      </c>
      <c r="C14" t="inlineStr">
        <is>
          <t>عامة: موزعة على كل المنتجات حسب المبيعات</t>
        </is>
      </c>
    </row>
    <row r="15">
      <c r="A15" t="inlineStr">
        <is>
          <t>تصوير مريم</t>
        </is>
      </c>
      <c r="B15" t="n">
        <v>1025</v>
      </c>
      <c r="C15" t="inlineStr">
        <is>
          <t>عامة: موزعة على كل المنتجات حسب المبيعات</t>
        </is>
      </c>
    </row>
    <row r="16">
      <c r="A16" t="inlineStr">
        <is>
          <t>استشارات اسيل</t>
        </is>
      </c>
      <c r="B16" t="n">
        <v>1167</v>
      </c>
      <c r="C16" t="inlineStr">
        <is>
          <t>عامة: موزعة على كل المنتجات حسب المبيعات</t>
        </is>
      </c>
    </row>
    <row r="18">
      <c r="A18" s="6" t="inlineStr">
        <is>
          <t>مستبعدة من الفترة</t>
        </is>
      </c>
    </row>
    <row r="19">
      <c r="A19" t="inlineStr">
        <is>
          <t>غدي البارقي (يُنشر 27 أكتوبر - فترة لاحقة)</t>
        </is>
      </c>
      <c r="B19" t="n">
        <v>9500</v>
      </c>
    </row>
    <row r="20">
      <c r="A20" t="inlineStr">
        <is>
          <t>تيك توك ابرار (يناير)</t>
        </is>
      </c>
      <c r="B20" t="n">
        <v>9300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rightToLeft="1" workbookViewId="0">
      <selection activeCell="A1" sqref="A1"/>
    </sheetView>
  </sheetViews>
  <sheetFormatPr baseColWidth="8" defaultRowHeight="15"/>
  <cols>
    <col width="120" customWidth="1" min="1" max="1"/>
  </cols>
  <sheetData>
    <row r="1">
      <c r="A1" s="11" t="inlineStr">
        <is>
          <t>1. الفترة: 1 مايو – 24 أكتوبر 2026. المبيعات من طلبات زد الفعلية (6,400 طلب).</t>
        </is>
      </c>
    </row>
    <row r="2">
      <c r="A2" s="11" t="inlineStr">
        <is>
          <t>2. صافي المبيعات بدون ضريبة = (سعر البيع − الخصم) ÷ 1.15. الخصم موزع على منتجات الطلب حسب قيمتها.</t>
        </is>
      </c>
    </row>
    <row r="3">
      <c r="A3" s="11" t="inlineStr">
        <is>
          <t>3. تكلفة المؤثرين: من قيود حساب «دعاية وإعلان» (الملف المرفوع). نجلاء (30,000 بدون ضريبة) من شيت الحملات لأنها مش في القيود. آية جمال وفهدة بدون تكلفة مسجلة.</t>
        </is>
      </c>
    </row>
    <row r="4">
      <c r="A4" s="11" t="inlineStr">
        <is>
          <t>4. كل مؤثرة بكود: تكلفتها موزعة على المنتجات اللي اتباعت بكودها، بنفس نسبة مبيعات كل منتج.</t>
        </is>
      </c>
    </row>
    <row r="5">
      <c r="A5" s="11" t="inlineStr">
        <is>
          <t>5. رايات التأثير (Dur bali) بدون كود: محمّلة على مجموعة الشعر (المنتج المذكور في الشيت).</t>
        </is>
      </c>
    </row>
    <row r="6">
      <c r="A6" s="11" t="inlineStr">
        <is>
          <t>6. الموديلز والتصوير والاستشارات (6,692 ريال): عامة، موزعة على كل المنتجات حسب المبيعات.</t>
        </is>
      </c>
    </row>
    <row r="7">
      <c r="A7" s="11" t="inlineStr">
        <is>
          <t>7. مستبعد: غدي البارقي 9,500 (الإعلان 27 أكتوبر، بعد الفترة) وإعلان يناير 9,300.</t>
        </is>
      </c>
    </row>
    <row r="8">
      <c r="A8" s="11" t="inlineStr">
        <is>
          <t>8. الإعلانات: حملات اسمها فيها «Summer» (22,037 ريال) محمّلة على مجموعة الصيف ومنتجات التان. الباقي (165,005) موزع على المنتجات حسب مبيعات الطلبات اللي من غير كود مؤثرة، لأن طلبات المؤثرين متحملة على المؤثرين.</t>
        </is>
      </c>
    </row>
    <row r="9">
      <c r="A9" s="11" t="inlineStr">
        <is>
          <t>9. حسابات الإعلانات بالدولار (ميتا وسناب) محوّلة ×3.75.</t>
        </is>
      </c>
    </row>
    <row r="10">
      <c r="A10" s="11" t="inlineStr">
        <is>
          <t>10. الخانات الصفرا مدخلات: تكلفة القطعة، تكلفة الشحن، رسوم الدفع، المصاريف الثابتة. أول ما تتملا، كل الأرباح بتتحسب أوتوماتيك.</t>
        </is>
      </c>
    </row>
    <row r="11">
      <c r="A11" s="11" t="inlineStr">
        <is>
          <t>11. تقدير: توزيع الإعلانات على المنتجات تقريبي لأن معظم الحملات «كتالوج» أو «تحويل» لكل المنتجات.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2026-10-25T10:20:53Z</dcterms:created>
  <dcterms:modified xmlns:dcterms="http://purl.org/dc/terms/" xmlns:xsi="http://www.w3.org/2001/XMLSchema-instance" xsi:type="dcterms:W3CDTF">2026-10-25T10:20:53Z</dcterms:modified>
</cp:coreProperties>
</file>